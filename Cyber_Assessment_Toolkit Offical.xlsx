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Area_360\Workload\Projects\"/>
    </mc:Choice>
  </mc:AlternateContent>
  <xr:revisionPtr revIDLastSave="0" documentId="13_ncr:1_{101CE9B0-D534-457E-9CDF-B44ED8BE838A}" xr6:coauthVersionLast="47" xr6:coauthVersionMax="47" xr10:uidLastSave="{00000000-0000-0000-0000-000000000000}"/>
  <bookViews>
    <workbookView xWindow="-38510" yWindow="1460" windowWidth="19420" windowHeight="10300" tabRatio="500" activeTab="2" xr2:uid="{00000000-000D-0000-FFFF-FFFF00000000}"/>
  </bookViews>
  <sheets>
    <sheet name="Assessment" sheetId="1" r:id="rId1"/>
    <sheet name="Results" sheetId="2" r:id="rId2"/>
    <sheet name="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C13" i="2"/>
  <c r="C10" i="3" s="1"/>
  <c r="C6" i="2"/>
  <c r="E14" i="1"/>
  <c r="E15" i="1"/>
  <c r="E16" i="1"/>
  <c r="E17" i="1"/>
  <c r="E18" i="1"/>
  <c r="E19" i="1"/>
  <c r="E21" i="1"/>
  <c r="E22" i="1"/>
  <c r="E23" i="1"/>
  <c r="E24" i="1"/>
  <c r="E25" i="1"/>
  <c r="E27" i="1"/>
  <c r="E28" i="1"/>
  <c r="E29" i="1"/>
  <c r="E30" i="1"/>
  <c r="E31" i="1"/>
  <c r="E33" i="1"/>
  <c r="E34" i="1"/>
  <c r="E35" i="1"/>
  <c r="E36" i="1"/>
  <c r="E37" i="1"/>
  <c r="E39" i="1"/>
  <c r="E40" i="1"/>
  <c r="E41" i="1"/>
  <c r="E42" i="1"/>
  <c r="C17" i="2" s="1"/>
  <c r="C14" i="3" s="1"/>
  <c r="E43" i="1"/>
  <c r="E45" i="1"/>
  <c r="E46" i="1"/>
  <c r="E47" i="1"/>
  <c r="E48" i="1"/>
  <c r="E49" i="1"/>
  <c r="E8" i="1"/>
  <c r="E9" i="1"/>
  <c r="E10" i="1"/>
  <c r="E11" i="1"/>
  <c r="E12" i="1"/>
  <c r="E7" i="1"/>
  <c r="D9" i="1"/>
  <c r="D46" i="1"/>
  <c r="D47" i="1"/>
  <c r="D48" i="1"/>
  <c r="D49" i="1"/>
  <c r="D45" i="1"/>
  <c r="D40" i="1"/>
  <c r="D41" i="1"/>
  <c r="D42" i="1"/>
  <c r="D43" i="1"/>
  <c r="D39" i="1"/>
  <c r="D34" i="1"/>
  <c r="D35" i="1"/>
  <c r="D36" i="1"/>
  <c r="D37" i="1"/>
  <c r="D33" i="1"/>
  <c r="C16" i="2" s="1"/>
  <c r="C13" i="3" s="1"/>
  <c r="D28" i="1"/>
  <c r="C15" i="2" s="1"/>
  <c r="C12" i="3" s="1"/>
  <c r="D29" i="1"/>
  <c r="D30" i="1"/>
  <c r="D31" i="1"/>
  <c r="D27" i="1"/>
  <c r="D22" i="1"/>
  <c r="D23" i="1"/>
  <c r="D25" i="1"/>
  <c r="C14" i="2" s="1"/>
  <c r="C11" i="3" s="1"/>
  <c r="D21" i="1"/>
  <c r="D18" i="1"/>
  <c r="D15" i="1"/>
  <c r="D16" i="1"/>
  <c r="D17" i="1"/>
  <c r="D19" i="1"/>
  <c r="D14" i="1"/>
  <c r="B18" i="2" l="1"/>
  <c r="D18" i="2" s="1"/>
  <c r="B17" i="2"/>
  <c r="D17" i="2" s="1"/>
  <c r="C18" i="2"/>
  <c r="C15" i="3" s="1"/>
  <c r="B16" i="2"/>
  <c r="D16" i="2" s="1"/>
  <c r="B15" i="2"/>
  <c r="D15" i="2" s="1"/>
  <c r="B5" i="2"/>
  <c r="F24" i="3" s="1"/>
  <c r="B14" i="2"/>
  <c r="D14" i="2" s="1"/>
  <c r="B13" i="2"/>
  <c r="B6" i="2"/>
  <c r="D10" i="1"/>
  <c r="D11" i="1"/>
  <c r="D12" i="1"/>
  <c r="D8" i="1"/>
  <c r="D7" i="1"/>
  <c r="B7" i="2" l="1"/>
  <c r="A5" i="3" s="1"/>
  <c r="D13" i="2"/>
  <c r="B10" i="3"/>
  <c r="D10" i="3" s="1"/>
  <c r="C5" i="2"/>
  <c r="D4" i="3" s="1"/>
  <c r="B15" i="3"/>
  <c r="D15" i="3" s="1"/>
  <c r="B14" i="3"/>
  <c r="D14" i="3" s="1"/>
  <c r="B13" i="3"/>
  <c r="D13" i="3" s="1"/>
  <c r="B11" i="3"/>
  <c r="D11" i="3" s="1"/>
  <c r="C7" i="2" l="1"/>
  <c r="D5" i="3" s="1"/>
  <c r="B23" i="2"/>
  <c r="F25" i="3"/>
  <c r="B12" i="3"/>
  <c r="A4" i="3"/>
  <c r="D12" i="3" l="1"/>
  <c r="I23" i="3"/>
  <c r="I24" i="3"/>
  <c r="I26" i="3"/>
</calcChain>
</file>

<file path=xl/sharedStrings.xml><?xml version="1.0" encoding="utf-8"?>
<sst xmlns="http://schemas.openxmlformats.org/spreadsheetml/2006/main" count="168" uniqueCount="84">
  <si>
    <t>CYBERSECURITY ASSESSMENT QUESTIONNAIRE</t>
  </si>
  <si>
    <t>Category</t>
  </si>
  <si>
    <t>Question</t>
  </si>
  <si>
    <t>Response</t>
  </si>
  <si>
    <t>Score</t>
  </si>
  <si>
    <t>COMPANY PROFILE</t>
  </si>
  <si>
    <t>No</t>
  </si>
  <si>
    <t>What is your annual revenue range?</t>
  </si>
  <si>
    <t>Do you handle sensitive data (PII, PHI, financial, IP)?</t>
  </si>
  <si>
    <t>IDENTIFY</t>
  </si>
  <si>
    <t>Do you maintain an inventory of all software and applications?</t>
  </si>
  <si>
    <t>Do you know which systems are most critical to your business operations?</t>
  </si>
  <si>
    <t>PROTECT</t>
  </si>
  <si>
    <t>Do you require multi-factor authentication (MFA) for accessing business systems?</t>
  </si>
  <si>
    <t>Are user access privileges reviewed and updated regularly?</t>
  </si>
  <si>
    <t>Do employees receive cybersecurity awareness training?</t>
  </si>
  <si>
    <t>Is sensitive data encrypted both at rest and in transit?</t>
  </si>
  <si>
    <t>Do you have a formal process for securely disposing of old devices and data?</t>
  </si>
  <si>
    <t>DETECT</t>
  </si>
  <si>
    <t>Do you have security monitoring tools in place (antivirus, firewall, intrusion detection)?</t>
  </si>
  <si>
    <t>Are system logs reviewed regularly for suspicious activity?</t>
  </si>
  <si>
    <t>Do you receive alerts when unusual network activity occurs?</t>
  </si>
  <si>
    <t>Are software and systems regularly scanned for vulnerabilities?</t>
  </si>
  <si>
    <t>Do you have a process to detect unauthorized access attempts?</t>
  </si>
  <si>
    <t>RESPOND</t>
  </si>
  <si>
    <t>Do you have an incident response plan documented?</t>
  </si>
  <si>
    <t>Is there a designated team or person responsible for handling security incidents?</t>
  </si>
  <si>
    <t>Do you have a process to contain and mitigate security incidents?</t>
  </si>
  <si>
    <t>Are employees trained on how to report suspected security incidents?</t>
  </si>
  <si>
    <t>Do you have communication protocols for notifying affected parties during an incident?</t>
  </si>
  <si>
    <t>RECOVER</t>
  </si>
  <si>
    <t>Do you have a disaster recovery plan?</t>
  </si>
  <si>
    <t>Are critical systems and data backed up regularly?</t>
  </si>
  <si>
    <t>Have you tested your backup restoration process in the last year?</t>
  </si>
  <si>
    <t>Do you have a business continuity plan for operating during/after an incident?</t>
  </si>
  <si>
    <t>Do you conduct post-incident reviews to improve security measures?</t>
  </si>
  <si>
    <t>ASSESSMENT RESULTS &amp; RISK ANALYSIS</t>
  </si>
  <si>
    <t>OVERALL RISK SCORE</t>
  </si>
  <si>
    <t>Total Score:</t>
  </si>
  <si>
    <t>Maximum Score:</t>
  </si>
  <si>
    <t>Percentage:</t>
  </si>
  <si>
    <t>NIST FUNCTION BREAKDOWN</t>
  </si>
  <si>
    <t>NIST Function</t>
  </si>
  <si>
    <t>Max</t>
  </si>
  <si>
    <t>Status</t>
  </si>
  <si>
    <t>RECOMMENDED ACTION</t>
  </si>
  <si>
    <t>Service Package:</t>
  </si>
  <si>
    <t>See the Dashboard tab for your full risk assessment and recommended actions. Based on your score, detailed recommendations will be provided during your consultation.</t>
  </si>
  <si>
    <t>CYBERSECURITY ASSESSMENT DASHBOARD</t>
  </si>
  <si>
    <t>Risk Distribution</t>
  </si>
  <si>
    <t>NIST FUNCTION PERFORMANCE</t>
  </si>
  <si>
    <t>Function</t>
  </si>
  <si>
    <t>Your Score</t>
  </si>
  <si>
    <t>Maximum</t>
  </si>
  <si>
    <t>Gap</t>
  </si>
  <si>
    <t>Achieved</t>
  </si>
  <si>
    <t>Remaining</t>
  </si>
  <si>
    <t>KEY INSIGHTS</t>
  </si>
  <si>
    <t>Weakest Function:</t>
  </si>
  <si>
    <t>Strongest Function:</t>
  </si>
  <si>
    <t>Total Functions Below 3.5:</t>
  </si>
  <si>
    <t>Yes</t>
  </si>
  <si>
    <t>Do you have third-party vendors or partners involved in your operations?</t>
  </si>
  <si>
    <t>"What is your primary business | organization model?"</t>
  </si>
  <si>
    <r>
      <rPr>
        <b/>
        <sz val="11"/>
        <color theme="1"/>
        <rFont val="Calibri"/>
        <family val="2"/>
      </rPr>
      <t>Do you consider your business |orgainzation as critical infrastructure?</t>
    </r>
    <r>
      <rPr>
        <sz val="11"/>
        <color theme="1"/>
        <rFont val="Calibri"/>
        <family val="2"/>
        <charset val="1"/>
      </rPr>
      <t xml:space="preserve">  </t>
    </r>
    <r>
      <rPr>
        <sz val="11"/>
        <color rgb="FFFF0000"/>
        <rFont val="Calibri"/>
        <family val="2"/>
      </rPr>
      <t>The essential systems and assets that impact national security, public health, or economic stability.</t>
    </r>
  </si>
  <si>
    <t>Instructions: Please answer all questions using the dropdown options. Your responses will be automatically scored.</t>
  </si>
  <si>
    <t>Do you maintain an inventory of all hardware assets (computers, servers, mobile devices)?</t>
  </si>
  <si>
    <t>Do you currently have a Cybersecurity Professional working with your business | orgainzation?</t>
  </si>
  <si>
    <t>Target Value</t>
  </si>
  <si>
    <t>Operational Resilience</t>
  </si>
  <si>
    <t>GOVERNANCE</t>
  </si>
  <si>
    <t>Do you have a formal cybersecurity policy in place?</t>
  </si>
  <si>
    <t>Is cybersecurity oversight assigned to a specific role or leader?</t>
  </si>
  <si>
    <t>Do you have a vendor/third-party risk management policy?</t>
  </si>
  <si>
    <t>Are cybersecurity risks reported to executive leadership or the board?</t>
  </si>
  <si>
    <t>Do you have a compliance requirement? (HIPAA, PCI-DSS, CMMC, SOC2, etc.)</t>
  </si>
  <si>
    <t>Have you had a third-party security audit or assessment in the last 12 months?</t>
  </si>
  <si>
    <t>Do you know where all your sensitive data is stored and who has access to it?</t>
  </si>
  <si>
    <t>What is the range of employees/contractors working in your business |orgainzation?</t>
  </si>
  <si>
    <t>Yes - In-House</t>
  </si>
  <si>
    <t>0-&gt;9</t>
  </si>
  <si>
    <t>under 1M</t>
  </si>
  <si>
    <t>MAX</t>
  </si>
  <si>
    <t>ALL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</si>
</sst>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</font>
    <font>
      <b/>
      <sz val="12"/>
      <color rgb="FFFFFFFF"/>
      <name val="Cambria"/>
      <charset val="1"/>
    </font>
    <font>
      <b/>
      <sz val="11"/>
      <color rgb="FFFFFFFF"/>
      <name val="Cambria"/>
      <charset val="1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0"/>
      <name val="Cambria"/>
      <family val="1"/>
    </font>
    <font>
      <b/>
      <sz val="24"/>
      <color rgb="FF1F4E78"/>
      <name val="Cambria"/>
      <family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b/>
      <sz val="18"/>
      <color rgb="FF1F4E78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2"/>
      <name val="Cambria"/>
      <family val="1"/>
      <scheme val="major"/>
    </font>
    <font>
      <b/>
      <sz val="48"/>
      <color rgb="FF1F4E78"/>
      <name val="Cambria"/>
      <family val="1"/>
      <scheme val="major"/>
    </font>
    <font>
      <b/>
      <sz val="22"/>
      <name val="Cambria"/>
      <family val="1"/>
      <scheme val="major"/>
    </font>
    <font>
      <b/>
      <sz val="16"/>
      <name val="Cambria"/>
      <family val="1"/>
      <scheme val="major"/>
    </font>
    <font>
      <b/>
      <sz val="22"/>
      <color theme="1"/>
      <name val="Cambria"/>
      <family val="1"/>
      <scheme val="major"/>
    </font>
    <font>
      <b/>
      <sz val="12"/>
      <color rgb="FFFFFFFF"/>
      <name val="Cambria"/>
      <family val="1"/>
      <scheme val="major"/>
    </font>
    <font>
      <b/>
      <sz val="14"/>
      <color rgb="FF1F4E78"/>
      <name val="Cambria"/>
      <family val="1"/>
      <scheme val="major"/>
    </font>
    <font>
      <b/>
      <sz val="11"/>
      <color rgb="FFC00000"/>
      <name val="Cambria"/>
      <family val="1"/>
      <scheme val="major"/>
    </font>
    <font>
      <b/>
      <sz val="11"/>
      <color rgb="FF00B050"/>
      <name val="Cambria"/>
      <family val="1"/>
      <scheme val="major"/>
    </font>
    <font>
      <b/>
      <sz val="11"/>
      <name val="Cambria"/>
      <family val="1"/>
      <scheme val="major"/>
    </font>
    <font>
      <b/>
      <sz val="16"/>
      <color rgb="FF1F4E78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4"/>
      <color rgb="FF0070C0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4F81BD"/>
      </patternFill>
    </fill>
    <fill>
      <patternFill patternType="solid">
        <fgColor rgb="FFE7E6E6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theme="0"/>
        <bgColor rgb="FFD9D9D9"/>
      </patternFill>
    </fill>
    <fill>
      <patternFill patternType="solid">
        <fgColor rgb="FFF2600B"/>
        <bgColor rgb="FFD9D9D9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" fontId="9" fillId="0" borderId="1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9" fontId="12" fillId="0" borderId="0" xfId="1" applyFont="1"/>
    <xf numFmtId="0" fontId="27" fillId="0" borderId="0" xfId="0" applyFont="1"/>
    <xf numFmtId="9" fontId="13" fillId="0" borderId="0" xfId="1" applyFont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0" fillId="0" borderId="0" xfId="0" applyFont="1"/>
    <xf numFmtId="0" fontId="13" fillId="0" borderId="4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12" fillId="0" borderId="0" xfId="0" applyFont="1" applyAlignment="1">
      <alignment vertical="top" wrapText="1"/>
    </xf>
    <xf numFmtId="0" fontId="24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C0504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ED7D31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60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NIST Function Scores vs Maximum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Your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IDENTIFY</c:v>
                </c:pt>
                <c:pt idx="1">
                  <c:v>PROTECT</c:v>
                </c:pt>
                <c:pt idx="2">
                  <c:v>DETECT</c:v>
                </c:pt>
                <c:pt idx="3">
                  <c:v>RESPOND</c:v>
                </c:pt>
                <c:pt idx="4">
                  <c:v>RECOVER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21</c:v>
                </c:pt>
                <c:pt idx="3">
                  <c:v>13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5-4C72-919A-2A5B1E338022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IDENTIFY</c:v>
                </c:pt>
                <c:pt idx="1">
                  <c:v>PROTECT</c:v>
                </c:pt>
                <c:pt idx="2">
                  <c:v>DETECT</c:v>
                </c:pt>
                <c:pt idx="3">
                  <c:v>RESPOND</c:v>
                </c:pt>
                <c:pt idx="4">
                  <c:v>RECOVER</c:v>
                </c:pt>
              </c:strCache>
            </c:strRef>
          </c:cat>
          <c:val>
            <c:numRef>
              <c:f>Dashboard!$C$11:$C$15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5-4C72-919A-2A5B1E338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133986"/>
        <c:axId val="72015708"/>
      </c:barChart>
      <c:catAx>
        <c:axId val="591339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NIST Function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015708"/>
        <c:crosses val="autoZero"/>
        <c:auto val="1"/>
        <c:lblAlgn val="ctr"/>
        <c:lblOffset val="100"/>
        <c:noMultiLvlLbl val="0"/>
      </c:catAx>
      <c:valAx>
        <c:axId val="72015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33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Overall Risk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48C-4DEA-A77E-3C2563DCF929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48C-4DEA-A77E-3C2563DCF92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8C-4DEA-A77E-3C2563DCF92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8C-4DEA-A77E-3C2563DCF9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Dashboard!$E$24:$E$25</c:f>
              <c:strCache>
                <c:ptCount val="2"/>
                <c:pt idx="0">
                  <c:v>Achieved</c:v>
                </c:pt>
                <c:pt idx="1">
                  <c:v>Remaining</c:v>
                </c:pt>
              </c:strCache>
            </c:strRef>
          </c:cat>
          <c:val>
            <c:numRef>
              <c:f>Dashboard!$F$24:$F$25</c:f>
              <c:numCache>
                <c:formatCode>General</c:formatCode>
                <c:ptCount val="2"/>
                <c:pt idx="0">
                  <c:v>65</c:v>
                </c:pt>
                <c:pt idx="1">
                  <c:v>-40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8C-4DEA-A77E-3C2563DCF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1082040</xdr:colOff>
      <xdr:row>3</xdr:row>
      <xdr:rowOff>900</xdr:rowOff>
    </xdr:from>
    <xdr:to>
      <xdr:col>13</xdr:col>
      <xdr:colOff>507150</xdr:colOff>
      <xdr:row>17</xdr:row>
      <xdr:rowOff>115053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15</xdr:row>
      <xdr:rowOff>163830</xdr:rowOff>
    </xdr:from>
    <xdr:to>
      <xdr:col>4</xdr:col>
      <xdr:colOff>7620</xdr:colOff>
      <xdr:row>35</xdr:row>
      <xdr:rowOff>50520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opLeftCell="A32" zoomScale="85" zoomScaleNormal="85" workbookViewId="0">
      <selection activeCell="C45" sqref="C45"/>
    </sheetView>
  </sheetViews>
  <sheetFormatPr defaultColWidth="8.68359375" defaultRowHeight="14.4" x14ac:dyDescent="0.55000000000000004"/>
  <cols>
    <col min="1" max="1" width="20" customWidth="1"/>
    <col min="2" max="2" width="79.05078125" customWidth="1"/>
    <col min="3" max="3" width="25.89453125" bestFit="1" customWidth="1"/>
    <col min="4" max="4" width="10" customWidth="1"/>
  </cols>
  <sheetData>
    <row r="1" spans="1:5" ht="30" customHeight="1" x14ac:dyDescent="0.55000000000000004">
      <c r="A1" s="45" t="s">
        <v>0</v>
      </c>
      <c r="B1" s="45"/>
      <c r="C1" s="45"/>
      <c r="D1" s="45"/>
    </row>
    <row r="3" spans="1:5" ht="30" customHeight="1" x14ac:dyDescent="0.55000000000000004">
      <c r="A3" s="46" t="s">
        <v>65</v>
      </c>
      <c r="B3" s="46"/>
      <c r="C3" s="46"/>
      <c r="D3" s="46"/>
    </row>
    <row r="4" spans="1:5" ht="14.7" thickBot="1" x14ac:dyDescent="0.6"/>
    <row r="5" spans="1:5" ht="15.3" thickBot="1" x14ac:dyDescent="0.6">
      <c r="A5" s="8" t="s">
        <v>1</v>
      </c>
      <c r="B5" s="9" t="s">
        <v>2</v>
      </c>
      <c r="C5" s="9" t="s">
        <v>3</v>
      </c>
      <c r="D5" s="10" t="s">
        <v>4</v>
      </c>
      <c r="E5" s="14" t="s">
        <v>82</v>
      </c>
    </row>
    <row r="6" spans="1:5" ht="19.5" customHeight="1" x14ac:dyDescent="0.55000000000000004">
      <c r="A6" s="47" t="s">
        <v>5</v>
      </c>
      <c r="B6" s="48"/>
      <c r="C6" s="48"/>
      <c r="D6" s="48"/>
      <c r="E6" s="48"/>
    </row>
    <row r="7" spans="1:5" x14ac:dyDescent="0.55000000000000004">
      <c r="A7" s="6" t="s">
        <v>5</v>
      </c>
      <c r="B7" s="11" t="s">
        <v>63</v>
      </c>
      <c r="C7" s="6" t="s">
        <v>83</v>
      </c>
      <c r="D7" s="3">
        <f>IF(C7="Don't Know",5,IF(C7="All 3",5,IF(C7="B2G",4,IF(C7="B2B_B2C",4,IF(C7="B2B",2,IF(C7="B2C",1,0))))))</f>
        <v>5</v>
      </c>
      <c r="E7" s="15">
        <f>IF(C7="N/A",0,5)</f>
        <v>5</v>
      </c>
    </row>
    <row r="8" spans="1:5" ht="28.8" x14ac:dyDescent="0.55000000000000004">
      <c r="A8" s="3" t="s">
        <v>5</v>
      </c>
      <c r="B8" s="1" t="s">
        <v>64</v>
      </c>
      <c r="C8" s="3" t="s">
        <v>6</v>
      </c>
      <c r="D8" s="6">
        <f>IF(C8="No",3,IF(C8="N/A",0,IF(C8="Yes",5,IF(C8="Don't Know",5,))))</f>
        <v>3</v>
      </c>
      <c r="E8" s="3">
        <f t="shared" ref="E8:E49" si="0">IF(C8="N/A",0,5)</f>
        <v>5</v>
      </c>
    </row>
    <row r="9" spans="1:5" x14ac:dyDescent="0.55000000000000004">
      <c r="A9" s="3" t="s">
        <v>5</v>
      </c>
      <c r="B9" s="2" t="s">
        <v>78</v>
      </c>
      <c r="C9" s="13" t="s">
        <v>80</v>
      </c>
      <c r="D9" s="6">
        <f>IF(C9="0-&gt;9",1,IF(C9="10-&gt;49",2,IF(C9="50-&gt;199",3,IF(C9="200-&gt;999",4,IF(C9="1000-&gt;4999",5,IF(C9="5000+",5,))))))</f>
        <v>1</v>
      </c>
      <c r="E9" s="15">
        <f t="shared" si="0"/>
        <v>5</v>
      </c>
    </row>
    <row r="10" spans="1:5" x14ac:dyDescent="0.55000000000000004">
      <c r="A10" s="3" t="s">
        <v>5</v>
      </c>
      <c r="B10" s="2" t="s">
        <v>7</v>
      </c>
      <c r="C10" s="3" t="s">
        <v>81</v>
      </c>
      <c r="D10" s="6">
        <f>IF(C10="Under 1M",1,IF(C10="1M - 10M",3,IF(C10="10M+",5,IF(C10="Don't Know",5,))))</f>
        <v>1</v>
      </c>
      <c r="E10" s="15">
        <f t="shared" si="0"/>
        <v>5</v>
      </c>
    </row>
    <row r="11" spans="1:5" x14ac:dyDescent="0.55000000000000004">
      <c r="A11" s="3" t="s">
        <v>5</v>
      </c>
      <c r="B11" s="2" t="s">
        <v>8</v>
      </c>
      <c r="C11" s="3" t="s">
        <v>61</v>
      </c>
      <c r="D11" s="6">
        <f>IF(C11="No",3,IF(C11="N/A",0,IF(C11="Yes",5,IF(C11="Don't Know",5,))))</f>
        <v>5</v>
      </c>
      <c r="E11" s="15">
        <f t="shared" si="0"/>
        <v>5</v>
      </c>
    </row>
    <row r="12" spans="1:5" x14ac:dyDescent="0.55000000000000004">
      <c r="A12" s="4" t="s">
        <v>5</v>
      </c>
      <c r="B12" s="5" t="s">
        <v>67</v>
      </c>
      <c r="C12" s="4" t="s">
        <v>79</v>
      </c>
      <c r="D12" s="6">
        <f>IF(C12="No",3,IF(C12="N/A",0,IF(C12="Yes",5,IF(C12="Don't Know",5,))))</f>
        <v>0</v>
      </c>
      <c r="E12" s="15">
        <f t="shared" si="0"/>
        <v>5</v>
      </c>
    </row>
    <row r="13" spans="1:5" ht="19.5" customHeight="1" x14ac:dyDescent="0.55000000000000004">
      <c r="A13" s="47" t="s">
        <v>70</v>
      </c>
      <c r="B13" s="48"/>
      <c r="C13" s="48"/>
      <c r="D13" s="48"/>
      <c r="E13" s="49"/>
    </row>
    <row r="14" spans="1:5" x14ac:dyDescent="0.55000000000000004">
      <c r="A14" s="6" t="s">
        <v>70</v>
      </c>
      <c r="B14" s="7" t="s">
        <v>71</v>
      </c>
      <c r="C14" s="6" t="s">
        <v>6</v>
      </c>
      <c r="D14" s="6">
        <f>IF(C14="Yes",1,IF(C14="No",5,IF(C14="Don't Know",5,0)))</f>
        <v>5</v>
      </c>
      <c r="E14" s="15">
        <f t="shared" si="0"/>
        <v>5</v>
      </c>
    </row>
    <row r="15" spans="1:5" x14ac:dyDescent="0.55000000000000004">
      <c r="A15" s="3" t="s">
        <v>70</v>
      </c>
      <c r="B15" s="2" t="s">
        <v>72</v>
      </c>
      <c r="C15" s="6" t="s">
        <v>61</v>
      </c>
      <c r="D15" s="6">
        <f t="shared" ref="D15:D49" si="1">IF(C15="Yes",1,IF(C15="No",5,IF(C15="Don't Know",5,0)))</f>
        <v>1</v>
      </c>
      <c r="E15" s="15">
        <f t="shared" si="0"/>
        <v>5</v>
      </c>
    </row>
    <row r="16" spans="1:5" x14ac:dyDescent="0.55000000000000004">
      <c r="A16" s="3" t="s">
        <v>70</v>
      </c>
      <c r="B16" s="2" t="s">
        <v>73</v>
      </c>
      <c r="C16" s="6" t="s">
        <v>6</v>
      </c>
      <c r="D16" s="6">
        <f t="shared" si="1"/>
        <v>5</v>
      </c>
      <c r="E16" s="15">
        <f t="shared" si="0"/>
        <v>5</v>
      </c>
    </row>
    <row r="17" spans="1:5" x14ac:dyDescent="0.55000000000000004">
      <c r="A17" s="3" t="s">
        <v>70</v>
      </c>
      <c r="B17" s="2" t="s">
        <v>74</v>
      </c>
      <c r="C17" s="6" t="s">
        <v>61</v>
      </c>
      <c r="D17" s="6">
        <f t="shared" si="1"/>
        <v>1</v>
      </c>
      <c r="E17" s="15">
        <f t="shared" si="0"/>
        <v>5</v>
      </c>
    </row>
    <row r="18" spans="1:5" x14ac:dyDescent="0.55000000000000004">
      <c r="A18" s="4" t="s">
        <v>70</v>
      </c>
      <c r="B18" s="5" t="s">
        <v>75</v>
      </c>
      <c r="C18" s="6" t="s">
        <v>6</v>
      </c>
      <c r="D18" s="6">
        <f>IF(C18="Yes",5,IF(C18="No",1,IF(C18="Don't Know",5,0)))</f>
        <v>1</v>
      </c>
      <c r="E18" s="15">
        <f t="shared" si="0"/>
        <v>5</v>
      </c>
    </row>
    <row r="19" spans="1:5" x14ac:dyDescent="0.55000000000000004">
      <c r="A19" s="12" t="s">
        <v>70</v>
      </c>
      <c r="B19" s="5" t="s">
        <v>76</v>
      </c>
      <c r="C19" s="6" t="s">
        <v>6</v>
      </c>
      <c r="D19" s="6">
        <f t="shared" si="1"/>
        <v>5</v>
      </c>
      <c r="E19" s="15">
        <f t="shared" si="0"/>
        <v>5</v>
      </c>
    </row>
    <row r="20" spans="1:5" ht="19.5" customHeight="1" x14ac:dyDescent="0.55000000000000004">
      <c r="A20" s="47" t="s">
        <v>9</v>
      </c>
      <c r="B20" s="48"/>
      <c r="C20" s="48"/>
      <c r="D20" s="48"/>
      <c r="E20" s="49"/>
    </row>
    <row r="21" spans="1:5" x14ac:dyDescent="0.55000000000000004">
      <c r="A21" s="6" t="s">
        <v>9</v>
      </c>
      <c r="B21" s="7" t="s">
        <v>66</v>
      </c>
      <c r="C21" s="4" t="s">
        <v>6</v>
      </c>
      <c r="D21" s="6">
        <f t="shared" si="1"/>
        <v>5</v>
      </c>
      <c r="E21" s="15">
        <f t="shared" si="0"/>
        <v>5</v>
      </c>
    </row>
    <row r="22" spans="1:5" x14ac:dyDescent="0.55000000000000004">
      <c r="A22" s="3" t="s">
        <v>9</v>
      </c>
      <c r="B22" s="2" t="s">
        <v>10</v>
      </c>
      <c r="C22" s="4" t="s">
        <v>61</v>
      </c>
      <c r="D22" s="6">
        <f t="shared" si="1"/>
        <v>1</v>
      </c>
      <c r="E22" s="15">
        <f t="shared" si="0"/>
        <v>5</v>
      </c>
    </row>
    <row r="23" spans="1:5" x14ac:dyDescent="0.55000000000000004">
      <c r="A23" s="3" t="s">
        <v>9</v>
      </c>
      <c r="B23" s="2" t="s">
        <v>11</v>
      </c>
      <c r="C23" s="4" t="s">
        <v>61</v>
      </c>
      <c r="D23" s="6">
        <f t="shared" si="1"/>
        <v>1</v>
      </c>
      <c r="E23" s="15">
        <f t="shared" si="0"/>
        <v>5</v>
      </c>
    </row>
    <row r="24" spans="1:5" x14ac:dyDescent="0.55000000000000004">
      <c r="A24" s="3" t="s">
        <v>9</v>
      </c>
      <c r="B24" s="2" t="s">
        <v>62</v>
      </c>
      <c r="C24" s="4" t="s">
        <v>6</v>
      </c>
      <c r="D24" s="6">
        <f>IF(C24="Yes",5,IF(C24="No",1,IF(C24="Don't Know",5,0)))</f>
        <v>1</v>
      </c>
      <c r="E24" s="15">
        <f t="shared" si="0"/>
        <v>5</v>
      </c>
    </row>
    <row r="25" spans="1:5" x14ac:dyDescent="0.55000000000000004">
      <c r="A25" s="4" t="s">
        <v>9</v>
      </c>
      <c r="B25" s="2" t="s">
        <v>77</v>
      </c>
      <c r="C25" s="4" t="s">
        <v>61</v>
      </c>
      <c r="D25" s="6">
        <f t="shared" si="1"/>
        <v>1</v>
      </c>
      <c r="E25" s="15">
        <f t="shared" si="0"/>
        <v>5</v>
      </c>
    </row>
    <row r="26" spans="1:5" ht="19.5" customHeight="1" x14ac:dyDescent="0.55000000000000004">
      <c r="A26" s="47" t="s">
        <v>12</v>
      </c>
      <c r="B26" s="48"/>
      <c r="C26" s="48"/>
      <c r="D26" s="48"/>
      <c r="E26" s="49"/>
    </row>
    <row r="27" spans="1:5" x14ac:dyDescent="0.55000000000000004">
      <c r="A27" s="6" t="s">
        <v>12</v>
      </c>
      <c r="B27" s="7" t="s">
        <v>13</v>
      </c>
      <c r="C27" s="6" t="s">
        <v>61</v>
      </c>
      <c r="D27" s="6">
        <f t="shared" si="1"/>
        <v>1</v>
      </c>
      <c r="E27" s="15">
        <f t="shared" si="0"/>
        <v>5</v>
      </c>
    </row>
    <row r="28" spans="1:5" x14ac:dyDescent="0.55000000000000004">
      <c r="A28" s="3" t="s">
        <v>12</v>
      </c>
      <c r="B28" s="2" t="s">
        <v>14</v>
      </c>
      <c r="C28" s="6" t="s">
        <v>61</v>
      </c>
      <c r="D28" s="6">
        <f t="shared" si="1"/>
        <v>1</v>
      </c>
      <c r="E28" s="15">
        <f t="shared" si="0"/>
        <v>5</v>
      </c>
    </row>
    <row r="29" spans="1:5" x14ac:dyDescent="0.55000000000000004">
      <c r="A29" s="3" t="s">
        <v>12</v>
      </c>
      <c r="B29" s="2" t="s">
        <v>15</v>
      </c>
      <c r="C29" s="6" t="s">
        <v>6</v>
      </c>
      <c r="D29" s="6">
        <f t="shared" si="1"/>
        <v>5</v>
      </c>
      <c r="E29" s="15">
        <f t="shared" si="0"/>
        <v>5</v>
      </c>
    </row>
    <row r="30" spans="1:5" x14ac:dyDescent="0.55000000000000004">
      <c r="A30" s="3" t="s">
        <v>12</v>
      </c>
      <c r="B30" s="2" t="s">
        <v>16</v>
      </c>
      <c r="C30" s="6" t="s">
        <v>6</v>
      </c>
      <c r="D30" s="6">
        <f t="shared" si="1"/>
        <v>5</v>
      </c>
      <c r="E30" s="15">
        <f t="shared" si="0"/>
        <v>5</v>
      </c>
    </row>
    <row r="31" spans="1:5" x14ac:dyDescent="0.55000000000000004">
      <c r="A31" s="4" t="s">
        <v>12</v>
      </c>
      <c r="B31" s="5" t="s">
        <v>17</v>
      </c>
      <c r="C31" s="6" t="s">
        <v>6</v>
      </c>
      <c r="D31" s="6">
        <f t="shared" si="1"/>
        <v>5</v>
      </c>
      <c r="E31" s="15">
        <f t="shared" si="0"/>
        <v>5</v>
      </c>
    </row>
    <row r="32" spans="1:5" ht="19.5" customHeight="1" x14ac:dyDescent="0.55000000000000004">
      <c r="A32" s="47" t="s">
        <v>18</v>
      </c>
      <c r="B32" s="48"/>
      <c r="C32" s="48"/>
      <c r="D32" s="48"/>
      <c r="E32" s="49"/>
    </row>
    <row r="33" spans="1:5" x14ac:dyDescent="0.55000000000000004">
      <c r="A33" s="6" t="s">
        <v>18</v>
      </c>
      <c r="B33" s="7" t="s">
        <v>19</v>
      </c>
      <c r="C33" s="4" t="s">
        <v>61</v>
      </c>
      <c r="D33" s="6">
        <f t="shared" si="1"/>
        <v>1</v>
      </c>
      <c r="E33" s="15">
        <f t="shared" si="0"/>
        <v>5</v>
      </c>
    </row>
    <row r="34" spans="1:5" x14ac:dyDescent="0.55000000000000004">
      <c r="A34" s="3" t="s">
        <v>18</v>
      </c>
      <c r="B34" s="2" t="s">
        <v>20</v>
      </c>
      <c r="C34" s="4" t="s">
        <v>6</v>
      </c>
      <c r="D34" s="6">
        <f t="shared" si="1"/>
        <v>5</v>
      </c>
      <c r="E34" s="15">
        <f t="shared" si="0"/>
        <v>5</v>
      </c>
    </row>
    <row r="35" spans="1:5" x14ac:dyDescent="0.55000000000000004">
      <c r="A35" s="3" t="s">
        <v>18</v>
      </c>
      <c r="B35" s="2" t="s">
        <v>21</v>
      </c>
      <c r="C35" s="4" t="s">
        <v>6</v>
      </c>
      <c r="D35" s="6">
        <f t="shared" si="1"/>
        <v>5</v>
      </c>
      <c r="E35" s="15">
        <f t="shared" si="0"/>
        <v>5</v>
      </c>
    </row>
    <row r="36" spans="1:5" x14ac:dyDescent="0.55000000000000004">
      <c r="A36" s="3" t="s">
        <v>18</v>
      </c>
      <c r="B36" s="2" t="s">
        <v>22</v>
      </c>
      <c r="C36" s="4" t="s">
        <v>6</v>
      </c>
      <c r="D36" s="6">
        <f t="shared" si="1"/>
        <v>5</v>
      </c>
      <c r="E36" s="15">
        <f t="shared" si="0"/>
        <v>5</v>
      </c>
    </row>
    <row r="37" spans="1:5" x14ac:dyDescent="0.55000000000000004">
      <c r="A37" s="4" t="s">
        <v>18</v>
      </c>
      <c r="B37" s="5" t="s">
        <v>23</v>
      </c>
      <c r="C37" s="4" t="s">
        <v>6</v>
      </c>
      <c r="D37" s="6">
        <f t="shared" si="1"/>
        <v>5</v>
      </c>
      <c r="E37" s="15">
        <f t="shared" si="0"/>
        <v>5</v>
      </c>
    </row>
    <row r="38" spans="1:5" ht="19.5" customHeight="1" x14ac:dyDescent="0.55000000000000004">
      <c r="A38" s="47" t="s">
        <v>24</v>
      </c>
      <c r="B38" s="48"/>
      <c r="C38" s="48"/>
      <c r="D38" s="48"/>
      <c r="E38" s="49"/>
    </row>
    <row r="39" spans="1:5" x14ac:dyDescent="0.55000000000000004">
      <c r="A39" s="6" t="s">
        <v>24</v>
      </c>
      <c r="B39" s="7" t="s">
        <v>25</v>
      </c>
      <c r="C39" s="4" t="s">
        <v>6</v>
      </c>
      <c r="D39" s="6">
        <f t="shared" si="1"/>
        <v>5</v>
      </c>
      <c r="E39" s="15">
        <f t="shared" si="0"/>
        <v>5</v>
      </c>
    </row>
    <row r="40" spans="1:5" x14ac:dyDescent="0.55000000000000004">
      <c r="A40" s="3" t="s">
        <v>24</v>
      </c>
      <c r="B40" s="2" t="s">
        <v>26</v>
      </c>
      <c r="C40" s="4" t="s">
        <v>61</v>
      </c>
      <c r="D40" s="6">
        <f t="shared" si="1"/>
        <v>1</v>
      </c>
      <c r="E40" s="15">
        <f t="shared" si="0"/>
        <v>5</v>
      </c>
    </row>
    <row r="41" spans="1:5" x14ac:dyDescent="0.55000000000000004">
      <c r="A41" s="3" t="s">
        <v>24</v>
      </c>
      <c r="B41" s="2" t="s">
        <v>27</v>
      </c>
      <c r="C41" s="4" t="s">
        <v>6</v>
      </c>
      <c r="D41" s="6">
        <f t="shared" si="1"/>
        <v>5</v>
      </c>
      <c r="E41" s="15">
        <f t="shared" si="0"/>
        <v>5</v>
      </c>
    </row>
    <row r="42" spans="1:5" x14ac:dyDescent="0.55000000000000004">
      <c r="A42" s="3" t="s">
        <v>24</v>
      </c>
      <c r="B42" s="2" t="s">
        <v>28</v>
      </c>
      <c r="C42" s="4" t="s">
        <v>61</v>
      </c>
      <c r="D42" s="6">
        <f t="shared" si="1"/>
        <v>1</v>
      </c>
      <c r="E42" s="15">
        <f t="shared" si="0"/>
        <v>5</v>
      </c>
    </row>
    <row r="43" spans="1:5" x14ac:dyDescent="0.55000000000000004">
      <c r="A43" s="4" t="s">
        <v>24</v>
      </c>
      <c r="B43" s="5" t="s">
        <v>29</v>
      </c>
      <c r="C43" s="4" t="s">
        <v>61</v>
      </c>
      <c r="D43" s="6">
        <f t="shared" si="1"/>
        <v>1</v>
      </c>
      <c r="E43" s="15">
        <f t="shared" si="0"/>
        <v>5</v>
      </c>
    </row>
    <row r="44" spans="1:5" x14ac:dyDescent="0.55000000000000004">
      <c r="A44" s="47" t="s">
        <v>30</v>
      </c>
      <c r="B44" s="48"/>
      <c r="C44" s="48"/>
      <c r="D44" s="48"/>
      <c r="E44" s="49"/>
    </row>
    <row r="45" spans="1:5" x14ac:dyDescent="0.55000000000000004">
      <c r="A45" s="6" t="s">
        <v>30</v>
      </c>
      <c r="B45" s="7" t="s">
        <v>31</v>
      </c>
      <c r="C45" s="6" t="s">
        <v>61</v>
      </c>
      <c r="D45" s="6">
        <f t="shared" si="1"/>
        <v>1</v>
      </c>
      <c r="E45" s="15">
        <f t="shared" si="0"/>
        <v>5</v>
      </c>
    </row>
    <row r="46" spans="1:5" x14ac:dyDescent="0.55000000000000004">
      <c r="A46" s="3" t="s">
        <v>30</v>
      </c>
      <c r="B46" s="2" t="s">
        <v>32</v>
      </c>
      <c r="C46" s="6" t="s">
        <v>61</v>
      </c>
      <c r="D46" s="6">
        <f t="shared" si="1"/>
        <v>1</v>
      </c>
      <c r="E46" s="15">
        <f t="shared" si="0"/>
        <v>5</v>
      </c>
    </row>
    <row r="47" spans="1:5" x14ac:dyDescent="0.55000000000000004">
      <c r="A47" s="3" t="s">
        <v>30</v>
      </c>
      <c r="B47" s="2" t="s">
        <v>33</v>
      </c>
      <c r="C47" s="6" t="s">
        <v>61</v>
      </c>
      <c r="D47" s="6">
        <f t="shared" si="1"/>
        <v>1</v>
      </c>
      <c r="E47" s="15">
        <f t="shared" si="0"/>
        <v>5</v>
      </c>
    </row>
    <row r="48" spans="1:5" x14ac:dyDescent="0.55000000000000004">
      <c r="A48" s="3" t="s">
        <v>30</v>
      </c>
      <c r="B48" s="2" t="s">
        <v>34</v>
      </c>
      <c r="C48" s="6" t="s">
        <v>61</v>
      </c>
      <c r="D48" s="6">
        <f t="shared" si="1"/>
        <v>1</v>
      </c>
      <c r="E48" s="15">
        <f t="shared" si="0"/>
        <v>5</v>
      </c>
    </row>
    <row r="49" spans="1:5" x14ac:dyDescent="0.55000000000000004">
      <c r="A49" s="3" t="s">
        <v>30</v>
      </c>
      <c r="B49" s="2" t="s">
        <v>35</v>
      </c>
      <c r="C49" s="6" t="s">
        <v>61</v>
      </c>
      <c r="D49" s="6">
        <f t="shared" si="1"/>
        <v>1</v>
      </c>
      <c r="E49" s="15">
        <f t="shared" si="0"/>
        <v>5</v>
      </c>
    </row>
  </sheetData>
  <mergeCells count="9">
    <mergeCell ref="A26:E26"/>
    <mergeCell ref="A32:E32"/>
    <mergeCell ref="A38:E38"/>
    <mergeCell ref="A44:E44"/>
    <mergeCell ref="A1:D1"/>
    <mergeCell ref="A3:D3"/>
    <mergeCell ref="A6:E6"/>
    <mergeCell ref="A13:E13"/>
    <mergeCell ref="A20:E20"/>
  </mergeCells>
  <dataValidations count="6">
    <dataValidation type="list" errorTitle="Invalid Entry" error="Please select Yes, No, or N/A" sqref="C11 C27:C31 C33:C37 C39:C43 C45:C49 C21:C25" xr:uid="{81AA05CC-C2A4-47FA-A624-57BBE69B00DB}">
      <formula1>"Yes,No,N/A, Don't Know"</formula1>
    </dataValidation>
    <dataValidation type="list" errorTitle="Invalid Entry" error="Please select Yes, No, or N/A" sqref="C7" xr:uid="{299B53A6-4798-4A49-AC8A-F5047EB10B42}">
      <formula1>"Don't Know, B2C, B2B, B2G, B2B_B2C, ALL 3"</formula1>
    </dataValidation>
    <dataValidation type="list" errorTitle="Invalid Entry" error="Please select Yes, No, or N/A" sqref="C10" xr:uid="{874805DE-F65C-42B3-B186-117BA7B5EEC6}">
      <formula1>"Don't Know, under 1M, 1M - 10M, 10M+"</formula1>
    </dataValidation>
    <dataValidation type="list" errorTitle="Invalid Entry" error="Please select Yes, No, or N/A" sqref="C12" xr:uid="{852F46C9-EA42-4B67-AA9D-FD9503AEB9A8}">
      <formula1>"No, Yes - In-House, Yes - Outsourced, Yes - both, Don't Know"</formula1>
    </dataValidation>
    <dataValidation type="list" errorTitle="Invalid Entry" error="Please select Yes, No, or N/A" sqref="C9" xr:uid="{3312382F-5A70-49EF-A532-286E67549C9F}">
      <formula1>"0-&gt;9, 10-&gt;49, 50-&gt;199, 200-&gt;999, 1000-&gt;4999, 5000+"</formula1>
    </dataValidation>
    <dataValidation type="list" errorTitle="Invalid Entry" error="Please select Yes, No, or N/A" sqref="C8 C14:C19" xr:uid="{CDA0478C-E7F0-4978-BD19-D46D8BC6D042}">
      <formula1>"Yes,No,Don't Know"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A5" zoomScaleNormal="100" workbookViewId="0">
      <selection activeCell="B23" sqref="B23:F23"/>
    </sheetView>
  </sheetViews>
  <sheetFormatPr defaultColWidth="8.68359375" defaultRowHeight="13.8" x14ac:dyDescent="0.45"/>
  <cols>
    <col min="1" max="1" width="20" style="16" customWidth="1"/>
    <col min="2" max="2" width="22.1015625" style="16" bestFit="1" customWidth="1"/>
    <col min="3" max="3" width="30" style="16" bestFit="1" customWidth="1"/>
    <col min="4" max="4" width="25" style="16" customWidth="1"/>
    <col min="5" max="16384" width="8.68359375" style="16"/>
  </cols>
  <sheetData>
    <row r="1" spans="1:8" ht="30" customHeight="1" x14ac:dyDescent="0.45">
      <c r="A1" s="51" t="s">
        <v>36</v>
      </c>
      <c r="B1" s="51"/>
      <c r="C1" s="51"/>
      <c r="D1" s="51"/>
      <c r="E1" s="51"/>
      <c r="F1" s="51"/>
    </row>
    <row r="3" spans="1:8" ht="17.399999999999999" x14ac:dyDescent="0.55000000000000004">
      <c r="A3" s="35" t="s">
        <v>37</v>
      </c>
      <c r="B3" s="35"/>
    </row>
    <row r="4" spans="1:8" x14ac:dyDescent="0.45">
      <c r="B4" s="28" t="s">
        <v>69</v>
      </c>
      <c r="C4" s="28" t="s">
        <v>68</v>
      </c>
    </row>
    <row r="5" spans="1:8" ht="15" x14ac:dyDescent="0.5">
      <c r="A5" s="16" t="s">
        <v>38</v>
      </c>
      <c r="B5" s="17">
        <f>SUMIF(Assessment!C21:C49,"&lt;&gt;N/A",Assessment!D21:D49)</f>
        <v>65</v>
      </c>
      <c r="C5" s="29">
        <f>SUMIF(Assessment!C7:C12,"&lt;&gt;N/A",Assessment!D7:D12)</f>
        <v>15</v>
      </c>
      <c r="H5" s="30"/>
    </row>
    <row r="6" spans="1:8" ht="15" x14ac:dyDescent="0.5">
      <c r="A6" s="16" t="s">
        <v>39</v>
      </c>
      <c r="B6" s="31">
        <f>SUMIF(Assessment!C14:C49,"&lt;&gt;N/A",Assessment!E14:E49)</f>
        <v>155</v>
      </c>
      <c r="C6" s="31">
        <f>SUMIF(Assessment!C7:C12,"&lt;&gt;N/A",Assessment!E7:E12)</f>
        <v>30</v>
      </c>
    </row>
    <row r="7" spans="1:8" ht="17.399999999999999" x14ac:dyDescent="0.55000000000000004">
      <c r="A7" s="16" t="s">
        <v>40</v>
      </c>
      <c r="B7" s="32" t="str">
        <f>TEXT(B5/B6,"0%")&amp;" Risk Score"</f>
        <v>42% Risk Score</v>
      </c>
      <c r="C7" s="32" t="str">
        <f>TEXT(C5/C6,"0%")&amp;" Risk Score"</f>
        <v>50% Risk Score</v>
      </c>
    </row>
    <row r="10" spans="1:8" ht="17.399999999999999" x14ac:dyDescent="0.55000000000000004">
      <c r="A10" s="35" t="s">
        <v>41</v>
      </c>
      <c r="B10" s="35"/>
      <c r="C10" s="35"/>
      <c r="D10" s="35"/>
    </row>
    <row r="12" spans="1:8" ht="15" x14ac:dyDescent="0.45">
      <c r="A12" s="33" t="s">
        <v>42</v>
      </c>
      <c r="B12" s="33" t="s">
        <v>4</v>
      </c>
      <c r="C12" s="33" t="s">
        <v>43</v>
      </c>
      <c r="D12" s="33" t="s">
        <v>44</v>
      </c>
    </row>
    <row r="13" spans="1:8" x14ac:dyDescent="0.45">
      <c r="A13" s="21" t="s">
        <v>70</v>
      </c>
      <c r="B13" s="21">
        <f>SUM(Assessment!D14:D19)</f>
        <v>18</v>
      </c>
      <c r="C13" s="21">
        <f>SUMIF(Assessment!D14:D19,"&lt;&gt;N/A",Assessment!E14:E19)</f>
        <v>30</v>
      </c>
      <c r="D13" s="21" t="str">
        <f t="shared" ref="D13:D18" si="0">IF(B13/25&gt;=0.6,"🔴 Critical",IF(B13/25&gt;=0.3,"🟡 Needs Improvement","🟢 Adequate"))</f>
        <v>🔴 Critical</v>
      </c>
    </row>
    <row r="14" spans="1:8" x14ac:dyDescent="0.45">
      <c r="A14" s="21" t="s">
        <v>9</v>
      </c>
      <c r="B14" s="21">
        <f>SUM(Assessment!D21:D25)</f>
        <v>9</v>
      </c>
      <c r="C14" s="21">
        <f>SUMIF(Assessment!D21:D25,"&lt;&gt;N/A",Assessment!E21:E25)</f>
        <v>25</v>
      </c>
      <c r="D14" s="21" t="str">
        <f t="shared" si="0"/>
        <v>🟡 Needs Improvement</v>
      </c>
    </row>
    <row r="15" spans="1:8" x14ac:dyDescent="0.45">
      <c r="A15" s="21" t="s">
        <v>12</v>
      </c>
      <c r="B15" s="21">
        <f>SUM(Assessment!D27:D31)</f>
        <v>17</v>
      </c>
      <c r="C15" s="21">
        <f>SUMIF(Assessment!D27:D31,"&lt;&gt;N/A",Assessment!E27:E31)</f>
        <v>25</v>
      </c>
      <c r="D15" s="21" t="str">
        <f t="shared" si="0"/>
        <v>🔴 Critical</v>
      </c>
    </row>
    <row r="16" spans="1:8" x14ac:dyDescent="0.45">
      <c r="A16" s="21" t="s">
        <v>18</v>
      </c>
      <c r="B16" s="21">
        <f>SUM(Assessment!D33:D37)</f>
        <v>21</v>
      </c>
      <c r="C16" s="21">
        <f>SUMIF(Assessment!D33:D37,"&lt;&gt;N/A",Assessment!E33:E37)</f>
        <v>25</v>
      </c>
      <c r="D16" s="21" t="str">
        <f t="shared" si="0"/>
        <v>🔴 Critical</v>
      </c>
    </row>
    <row r="17" spans="1:6" x14ac:dyDescent="0.45">
      <c r="A17" s="21" t="s">
        <v>24</v>
      </c>
      <c r="B17" s="21">
        <f>SUM(Assessment!D39:D43)</f>
        <v>13</v>
      </c>
      <c r="C17" s="21">
        <f>SUMIF(Assessment!D39:D43,"&lt;&gt;N/A",Assessment!E39:E43)</f>
        <v>25</v>
      </c>
      <c r="D17" s="21" t="str">
        <f t="shared" si="0"/>
        <v>🟡 Needs Improvement</v>
      </c>
    </row>
    <row r="18" spans="1:6" x14ac:dyDescent="0.45">
      <c r="A18" s="21" t="s">
        <v>30</v>
      </c>
      <c r="B18" s="21">
        <f>SUM(Assessment!D45:D49)</f>
        <v>5</v>
      </c>
      <c r="C18" s="21">
        <f>SUMIF(Assessment!D39:D43,"&lt;&gt;N/A",Assessment!E39:E43)</f>
        <v>25</v>
      </c>
      <c r="D18" s="21" t="str">
        <f t="shared" si="0"/>
        <v>🟢 Adequate</v>
      </c>
    </row>
    <row r="21" spans="1:6" ht="17.399999999999999" x14ac:dyDescent="0.55000000000000004">
      <c r="A21" s="35" t="s">
        <v>45</v>
      </c>
      <c r="B21" s="35"/>
      <c r="C21" s="35"/>
      <c r="D21" s="35"/>
      <c r="E21" s="35"/>
      <c r="F21" s="35"/>
    </row>
    <row r="23" spans="1:6" ht="39.75" customHeight="1" x14ac:dyDescent="0.45">
      <c r="A23" s="16" t="s">
        <v>46</v>
      </c>
      <c r="B23" s="50" t="str">
        <f>IF(B5&lt;=8,"Comprehensive Security Assessment + Remediation Package",IF(B5&lt;=15,"Standard Security Assessment + Implementation Support",IF(B5&lt;=20,"Focused Security Review + Enhancement Plan","Security Validation Review + Ongoing Support Services")))</f>
        <v>Security Validation Review + Ongoing Support Services</v>
      </c>
      <c r="C23" s="50"/>
      <c r="D23" s="50"/>
      <c r="E23" s="50"/>
      <c r="F23" s="50"/>
    </row>
    <row r="25" spans="1:6" ht="60" customHeight="1" x14ac:dyDescent="0.45">
      <c r="A25" s="50" t="s">
        <v>47</v>
      </c>
      <c r="B25" s="50"/>
      <c r="C25" s="50"/>
      <c r="D25" s="50"/>
      <c r="E25" s="50"/>
      <c r="F25" s="50"/>
    </row>
    <row r="26" spans="1:6" x14ac:dyDescent="0.45">
      <c r="A26" s="50"/>
      <c r="B26" s="50"/>
      <c r="C26" s="50"/>
      <c r="D26" s="50"/>
      <c r="E26" s="50"/>
      <c r="F26" s="50"/>
    </row>
    <row r="27" spans="1:6" x14ac:dyDescent="0.45">
      <c r="A27" s="50"/>
      <c r="B27" s="50"/>
      <c r="C27" s="50"/>
      <c r="D27" s="50"/>
      <c r="E27" s="50"/>
      <c r="F27" s="50"/>
    </row>
    <row r="28" spans="1:6" x14ac:dyDescent="0.45">
      <c r="A28" s="50"/>
      <c r="B28" s="50"/>
      <c r="C28" s="50"/>
      <c r="D28" s="50"/>
      <c r="E28" s="50"/>
      <c r="F28" s="50"/>
    </row>
    <row r="29" spans="1:6" x14ac:dyDescent="0.45">
      <c r="A29" s="50"/>
      <c r="B29" s="50"/>
      <c r="C29" s="50"/>
      <c r="D29" s="50"/>
      <c r="E29" s="50"/>
      <c r="F29" s="50"/>
    </row>
    <row r="30" spans="1:6" x14ac:dyDescent="0.45">
      <c r="A30" s="50"/>
      <c r="B30" s="50"/>
      <c r="C30" s="50"/>
      <c r="D30" s="50"/>
      <c r="E30" s="50"/>
      <c r="F30" s="50"/>
    </row>
    <row r="31" spans="1:6" x14ac:dyDescent="0.45">
      <c r="A31" s="50"/>
      <c r="B31" s="50"/>
      <c r="C31" s="50"/>
      <c r="D31" s="50"/>
      <c r="E31" s="50"/>
      <c r="F31" s="50"/>
    </row>
    <row r="32" spans="1:6" x14ac:dyDescent="0.45">
      <c r="A32" s="50"/>
      <c r="B32" s="50"/>
      <c r="C32" s="50"/>
      <c r="D32" s="50"/>
      <c r="E32" s="50"/>
      <c r="F32" s="50"/>
    </row>
    <row r="33" spans="1:6" x14ac:dyDescent="0.45">
      <c r="A33" s="50"/>
      <c r="B33" s="50"/>
      <c r="C33" s="50"/>
      <c r="D33" s="50"/>
      <c r="E33" s="50"/>
      <c r="F33" s="50"/>
    </row>
    <row r="34" spans="1:6" x14ac:dyDescent="0.45">
      <c r="A34" s="50"/>
      <c r="B34" s="50"/>
      <c r="C34" s="50"/>
      <c r="D34" s="50"/>
      <c r="E34" s="50"/>
      <c r="F34" s="50"/>
    </row>
  </sheetData>
  <mergeCells count="6">
    <mergeCell ref="A25:F34"/>
    <mergeCell ref="A1:F1"/>
    <mergeCell ref="A3:B3"/>
    <mergeCell ref="A10:D10"/>
    <mergeCell ref="A21:F21"/>
    <mergeCell ref="B23:F23"/>
  </mergeCells>
  <conditionalFormatting sqref="C4">
    <cfRule type="expression" priority="1">
      <formula>B6&gt;=0.6</formula>
    </cfRule>
  </conditionalFormatting>
  <conditionalFormatting sqref="H5">
    <cfRule type="iconSet" priority="12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"/>
  <sheetViews>
    <sheetView tabSelected="1" topLeftCell="A2" zoomScale="70" zoomScaleNormal="70" workbookViewId="0">
      <selection activeCell="A4" sqref="A4:B4"/>
    </sheetView>
  </sheetViews>
  <sheetFormatPr defaultColWidth="8.68359375" defaultRowHeight="13.8" x14ac:dyDescent="0.45"/>
  <cols>
    <col min="1" max="5" width="15" style="16" customWidth="1"/>
    <col min="6" max="6" width="21.5234375" style="16" bestFit="1" customWidth="1"/>
    <col min="7" max="8" width="15" style="16" customWidth="1"/>
    <col min="9" max="16384" width="8.68359375" style="16"/>
  </cols>
  <sheetData>
    <row r="1" spans="1:14" ht="34.5" customHeight="1" x14ac:dyDescent="0.45">
      <c r="A1" s="34" t="s">
        <v>48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3" spans="1:14" ht="17.399999999999999" x14ac:dyDescent="0.5">
      <c r="A3" s="39" t="s">
        <v>37</v>
      </c>
      <c r="B3" s="39"/>
      <c r="C3" s="39"/>
      <c r="D3" s="39"/>
      <c r="E3" s="39"/>
      <c r="F3" s="17" t="s">
        <v>49</v>
      </c>
    </row>
    <row r="4" spans="1:14" ht="60" customHeight="1" x14ac:dyDescent="0.45">
      <c r="A4" s="40">
        <f>Results!B5</f>
        <v>65</v>
      </c>
      <c r="B4" s="40"/>
      <c r="C4" s="18"/>
      <c r="D4" s="40">
        <f>Results!C5</f>
        <v>15</v>
      </c>
      <c r="E4" s="40"/>
    </row>
    <row r="5" spans="1:14" ht="30" customHeight="1" x14ac:dyDescent="0.85">
      <c r="A5" s="41" t="str">
        <f>Results!B7</f>
        <v>42% Risk Score</v>
      </c>
      <c r="B5" s="42"/>
      <c r="C5" s="19"/>
      <c r="D5" s="43" t="str">
        <f>Results!C7</f>
        <v>50% Risk Score</v>
      </c>
      <c r="E5" s="44"/>
    </row>
    <row r="6" spans="1:14" ht="17.399999999999999" x14ac:dyDescent="0.55000000000000004">
      <c r="A6" s="52" t="s">
        <v>69</v>
      </c>
      <c r="B6" s="52"/>
      <c r="D6" s="52" t="s">
        <v>68</v>
      </c>
      <c r="E6" s="52"/>
    </row>
    <row r="7" spans="1:14" ht="14.1" thickBot="1" x14ac:dyDescent="0.5"/>
    <row r="8" spans="1:14" ht="17.7" thickBot="1" x14ac:dyDescent="0.6">
      <c r="A8" s="36" t="s">
        <v>50</v>
      </c>
      <c r="B8" s="37"/>
      <c r="C8" s="37"/>
      <c r="D8" s="38"/>
    </row>
    <row r="9" spans="1:14" ht="15" x14ac:dyDescent="0.45">
      <c r="A9" s="20" t="s">
        <v>51</v>
      </c>
      <c r="B9" s="20" t="s">
        <v>52</v>
      </c>
      <c r="C9" s="20" t="s">
        <v>53</v>
      </c>
      <c r="D9" s="20" t="s">
        <v>54</v>
      </c>
    </row>
    <row r="10" spans="1:14" x14ac:dyDescent="0.45">
      <c r="A10" s="21" t="s">
        <v>70</v>
      </c>
      <c r="B10" s="22">
        <f>Results!B13</f>
        <v>18</v>
      </c>
      <c r="C10" s="23">
        <f>Results!C13</f>
        <v>30</v>
      </c>
      <c r="D10" s="24">
        <f t="shared" ref="D10:D15" si="0">C10-B10</f>
        <v>12</v>
      </c>
    </row>
    <row r="11" spans="1:14" x14ac:dyDescent="0.45">
      <c r="A11" s="21" t="s">
        <v>9</v>
      </c>
      <c r="B11" s="22">
        <f>Results!B14</f>
        <v>9</v>
      </c>
      <c r="C11" s="23">
        <f>Results!C14</f>
        <v>25</v>
      </c>
      <c r="D11" s="24">
        <f t="shared" si="0"/>
        <v>16</v>
      </c>
    </row>
    <row r="12" spans="1:14" x14ac:dyDescent="0.45">
      <c r="A12" s="21" t="s">
        <v>12</v>
      </c>
      <c r="B12" s="22">
        <f>Results!B15</f>
        <v>17</v>
      </c>
      <c r="C12" s="23">
        <f>Results!C15</f>
        <v>25</v>
      </c>
      <c r="D12" s="24">
        <f t="shared" si="0"/>
        <v>8</v>
      </c>
    </row>
    <row r="13" spans="1:14" x14ac:dyDescent="0.45">
      <c r="A13" s="21" t="s">
        <v>18</v>
      </c>
      <c r="B13" s="22">
        <f>Results!B16</f>
        <v>21</v>
      </c>
      <c r="C13" s="23">
        <f>Results!C16</f>
        <v>25</v>
      </c>
      <c r="D13" s="24">
        <f t="shared" si="0"/>
        <v>4</v>
      </c>
    </row>
    <row r="14" spans="1:14" x14ac:dyDescent="0.45">
      <c r="A14" s="21" t="s">
        <v>24</v>
      </c>
      <c r="B14" s="22">
        <f>Results!B17</f>
        <v>13</v>
      </c>
      <c r="C14" s="23">
        <f>Results!C17</f>
        <v>25</v>
      </c>
      <c r="D14" s="24">
        <f t="shared" si="0"/>
        <v>12</v>
      </c>
    </row>
    <row r="15" spans="1:14" x14ac:dyDescent="0.45">
      <c r="A15" s="21" t="s">
        <v>30</v>
      </c>
      <c r="B15" s="22">
        <f>Results!B18</f>
        <v>5</v>
      </c>
      <c r="C15" s="23">
        <f>Results!C18</f>
        <v>25</v>
      </c>
      <c r="D15" s="24">
        <f t="shared" si="0"/>
        <v>20</v>
      </c>
    </row>
    <row r="21" spans="5:11" ht="17.399999999999999" x14ac:dyDescent="0.55000000000000004">
      <c r="H21" s="35" t="s">
        <v>57</v>
      </c>
      <c r="I21" s="35"/>
      <c r="J21" s="35"/>
      <c r="K21" s="35"/>
    </row>
    <row r="23" spans="5:11" x14ac:dyDescent="0.45">
      <c r="H23" s="16" t="s">
        <v>58</v>
      </c>
      <c r="I23" s="25" t="str">
        <f>INDEX(Dashboard!$A$11:$A$15,MATCH(MIN(Dashboard!$B$11:$B$15),Dashboard!$B$11:$B$15,0))</f>
        <v>RECOVER</v>
      </c>
    </row>
    <row r="24" spans="5:11" x14ac:dyDescent="0.45">
      <c r="E24" s="16" t="s">
        <v>55</v>
      </c>
      <c r="F24" s="16">
        <f>Results!B5</f>
        <v>65</v>
      </c>
      <c r="H24" s="16" t="s">
        <v>59</v>
      </c>
      <c r="I24" s="26" t="str">
        <f>INDEX(Dashboard!$A$11:$A$15,MATCH(MAX(Dashboard!$B$11:$B$15),Dashboard!$B$11:$B$15,0))</f>
        <v>DETECT</v>
      </c>
    </row>
    <row r="25" spans="5:11" x14ac:dyDescent="0.45">
      <c r="E25" s="16" t="s">
        <v>56</v>
      </c>
      <c r="F25" s="16">
        <f>25-Results!B5</f>
        <v>-40</v>
      </c>
    </row>
    <row r="26" spans="5:11" x14ac:dyDescent="0.45">
      <c r="H26" s="16" t="s">
        <v>60</v>
      </c>
      <c r="I26" s="27">
        <f>COUNTIF(Dashboard!$B$11:$B$15,"&lt;3.5")</f>
        <v>0</v>
      </c>
    </row>
  </sheetData>
  <mergeCells count="10">
    <mergeCell ref="A1:N1"/>
    <mergeCell ref="H21:K21"/>
    <mergeCell ref="A8:D8"/>
    <mergeCell ref="A3:E3"/>
    <mergeCell ref="A4:B4"/>
    <mergeCell ref="A5:B5"/>
    <mergeCell ref="D4:E4"/>
    <mergeCell ref="D5:E5"/>
    <mergeCell ref="A6:B6"/>
    <mergeCell ref="D6:E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</vt:lpstr>
      <vt:lpstr>Results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jermale Mathis</cp:lastModifiedBy>
  <cp:revision>1</cp:revision>
  <dcterms:created xsi:type="dcterms:W3CDTF">2026-02-15T03:50:52Z</dcterms:created>
  <dcterms:modified xsi:type="dcterms:W3CDTF">2026-03-10T16:05:52Z</dcterms:modified>
  <dc:language>en-US</dc:language>
</cp:coreProperties>
</file>